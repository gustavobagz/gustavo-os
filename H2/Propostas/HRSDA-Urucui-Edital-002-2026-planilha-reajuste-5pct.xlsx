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/>
  <mc:AlternateContent xmlns:mc="http://schemas.openxmlformats.org/markup-compatibility/2006">
    <mc:Choice Requires="x15">
      <x15ac:absPath xmlns:x15ac="http://schemas.microsoft.com/office/spreadsheetml/2010/11/ac" url="C:\Users\Dell\gustavo\H2\Propostas\"/>
    </mc:Choice>
  </mc:AlternateContent>
  <xr:revisionPtr revIDLastSave="0" documentId="13_ncr:1_{3B67313B-B5FF-488C-BDFA-402066D343A0}" xr6:coauthVersionLast="47" xr6:coauthVersionMax="47" xr10:uidLastSave="{00000000-0000-0000-0000-000000000000}"/>
  <bookViews>
    <workbookView xWindow="-96" yWindow="-96" windowWidth="23232" windowHeight="12432" xr2:uid="{00000000-000D-0000-FFFF-FFFF00000000}"/>
  </bookViews>
  <sheets>
    <sheet name="HRSDA Uruçuí" sheetId="1" r:id="rId1"/>
  </sheets>
  <calcPr calcId="191029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E7" i="1" l="1"/>
  <c r="F7" i="1" s="1"/>
  <c r="E21" i="1"/>
  <c r="F21" i="1" s="1"/>
  <c r="E20" i="1"/>
  <c r="F20" i="1" s="1"/>
  <c r="E19" i="1"/>
  <c r="F19" i="1" s="1"/>
  <c r="F18" i="1"/>
  <c r="E18" i="1"/>
  <c r="E16" i="1"/>
  <c r="F16" i="1" s="1"/>
  <c r="E15" i="1"/>
  <c r="F15" i="1" s="1"/>
  <c r="E14" i="1"/>
  <c r="F14" i="1" s="1"/>
  <c r="E13" i="1"/>
  <c r="F13" i="1" s="1"/>
  <c r="E12" i="1"/>
  <c r="F12" i="1" s="1"/>
  <c r="E10" i="1"/>
  <c r="F10" i="1" s="1"/>
  <c r="E9" i="1"/>
  <c r="F9" i="1" s="1"/>
  <c r="E8" i="1"/>
  <c r="F8" i="1" s="1"/>
  <c r="F22" i="1" l="1"/>
</calcChain>
</file>

<file path=xl/sharedStrings.xml><?xml version="1.0" encoding="utf-8"?>
<sst xmlns="http://schemas.openxmlformats.org/spreadsheetml/2006/main" count="37" uniqueCount="29">
  <si>
    <t>D nº 002/2026 — Hospital Regional Senador Dirceu Arcoverde (HRSDA), Uruçuí/PI — Contrato de Gestão nº 07/2026</t>
  </si>
  <si>
    <t>Especialidade / Função</t>
  </si>
  <si>
    <t>Jornada</t>
  </si>
  <si>
    <t>Qtde.</t>
  </si>
  <si>
    <t>Valor Unit. Original (R$)</t>
  </si>
  <si>
    <t>Valor Unit. Reajustado (R$)</t>
  </si>
  <si>
    <t>Valor Mensal Total (R$)</t>
  </si>
  <si>
    <t>CLÍNICA MÉDICA E PEDIATRIA</t>
  </si>
  <si>
    <t>Médico Clínico Pronto Socorro (07-19h todos os dias)</t>
  </si>
  <si>
    <t>12h</t>
  </si>
  <si>
    <t>Médico Clínico Pronto Socorro (19-07h todos os dias)</t>
  </si>
  <si>
    <t>Médico Pediatra Parecerista/Visitador (07-13h todos os dias)</t>
  </si>
  <si>
    <t>6h</t>
  </si>
  <si>
    <t>Médico Clínico Hospitalista (07-13h todos os dias)</t>
  </si>
  <si>
    <t>UTI ADULTO</t>
  </si>
  <si>
    <t>Médico Diarista da UTI (segunda a sexta)</t>
  </si>
  <si>
    <t>4h</t>
  </si>
  <si>
    <t>Médico Coordenador da UTI</t>
  </si>
  <si>
    <t>Mensal</t>
  </si>
  <si>
    <t>Médico RT da UTI</t>
  </si>
  <si>
    <t>Médico Intensivista UTI Adulto (07-19h todos os dias)</t>
  </si>
  <si>
    <t>Médico Intensivista UTI Adulto (19-07h todos os dias)</t>
  </si>
  <si>
    <t>ESPECIALIDADES CLÍNICAS</t>
  </si>
  <si>
    <t>Médico para Transporte – Remoção Avançada</t>
  </si>
  <si>
    <t>—</t>
  </si>
  <si>
    <t>Médico Nefrologista Parecerista</t>
  </si>
  <si>
    <t>Médico Cardiologista Parecerista</t>
  </si>
  <si>
    <t>Médico Infectologista para SCIH</t>
  </si>
  <si>
    <t>TOTAL MENSAL ESTIMADO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</si>
</sst>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%"/>
  </numFmts>
  <fonts count="8" x14ac:knownFonts="1">
    <font>
      <sz val="11"/>
      <color theme="1"/>
      <name val="Calibri"/>
      <family val="2"/>
      <charset val="1"/>
    </font>
    <font>
      <b/>
      <sz val="13"/>
      <name val="Arial"/>
      <family val="2"/>
    </font>
    <font>
      <b/>
      <sz val="10"/>
      <name val="Arial"/>
      <family val="2"/>
    </font>
    <font>
      <b/>
      <sz val="10"/>
      <color rgb="FFFFFFFF"/>
      <name val="Arial"/>
      <family val="2"/>
    </font>
    <font>
      <sz val="10"/>
      <name val="Arial"/>
      <family val="2"/>
    </font>
    <font>
      <sz val="10"/>
      <color rgb="FF0000FF"/>
      <name val="Arial"/>
      <family val="2"/>
    </font>
    <font>
      <b/>
      <sz val="11"/>
      <name val="Arial"/>
      <family val="2"/>
    </font>
    <font>
      <b/>
      <sz val="11"/>
      <color theme="0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rgb="FFF2F2F2"/>
        <bgColor rgb="FFFFFFFF"/>
      </patternFill>
    </fill>
    <fill>
      <patternFill patternType="solid">
        <fgColor theme="3" tint="0.59999389629810485"/>
        <bgColor rgb="FF008080"/>
      </patternFill>
    </fill>
    <fill>
      <patternFill patternType="solid">
        <fgColor theme="3" tint="0.59999389629810485"/>
        <bgColor rgb="FFF2F2F2"/>
      </patternFill>
    </fill>
    <fill>
      <patternFill patternType="solid">
        <fgColor theme="3" tint="0.59999389629810485"/>
        <bgColor indexed="64"/>
      </patternFill>
    </fill>
  </fills>
  <borders count="2">
    <border>
      <left/>
      <right/>
      <top/>
      <bottom/>
      <diagonal/>
    </border>
    <border>
      <left style="thin">
        <color rgb="FFBBBBBB"/>
      </left>
      <right style="thin">
        <color rgb="FFBBBBBB"/>
      </right>
      <top style="thin">
        <color rgb="FFBBBBBB"/>
      </top>
      <bottom style="thin">
        <color rgb="FFBBBBBB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6" fillId="2" borderId="1" xfId="0" applyFont="1" applyFill="1" applyBorder="1" applyAlignment="1">
      <alignment horizontal="right" vertical="center"/>
    </xf>
    <xf numFmtId="0" fontId="2" fillId="0" borderId="0" xfId="0" applyFont="1"/>
    <xf numFmtId="0" fontId="4" fillId="0" borderId="1" xfId="0" applyFont="1" applyBorder="1" applyAlignment="1">
      <alignment horizontal="left" vertical="center" wrapText="1"/>
    </xf>
    <xf numFmtId="0" fontId="4" fillId="0" borderId="1" xfId="0" applyFont="1" applyBorder="1" applyAlignment="1">
      <alignment horizontal="center" vertical="center"/>
    </xf>
    <xf numFmtId="4" fontId="5" fillId="0" borderId="1" xfId="0" applyNumberFormat="1" applyFont="1" applyBorder="1" applyAlignment="1">
      <alignment horizontal="center" vertical="center"/>
    </xf>
    <xf numFmtId="4" fontId="4" fillId="0" borderId="1" xfId="0" applyNumberFormat="1" applyFont="1" applyBorder="1" applyAlignment="1">
      <alignment horizontal="center" vertical="center"/>
    </xf>
    <xf numFmtId="4" fontId="2" fillId="0" borderId="1" xfId="0" applyNumberFormat="1" applyFont="1" applyBorder="1" applyAlignment="1">
      <alignment horizontal="center" vertical="center"/>
    </xf>
    <xf numFmtId="4" fontId="6" fillId="2" borderId="1" xfId="0" applyNumberFormat="1" applyFont="1" applyFill="1" applyBorder="1" applyAlignment="1">
      <alignment horizontal="center" vertical="center"/>
    </xf>
    <xf numFmtId="164" fontId="7" fillId="0" borderId="0" xfId="0" applyNumberFormat="1" applyFont="1" applyFill="1" applyAlignment="1">
      <alignment horizontal="center" vertical="center"/>
    </xf>
    <xf numFmtId="0" fontId="3" fillId="3" borderId="1" xfId="0" applyFont="1" applyFill="1" applyBorder="1" applyAlignment="1">
      <alignment horizontal="center" vertical="center"/>
    </xf>
    <xf numFmtId="0" fontId="2" fillId="4" borderId="1" xfId="0" applyFont="1" applyFill="1" applyBorder="1"/>
    <xf numFmtId="0" fontId="1" fillId="5" borderId="0" xfId="0" applyFont="1" applyFill="1" applyBorder="1"/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BBBBB"/>
      <rgbColor rgb="FF808080"/>
      <rgbColor rgb="FF9999FF"/>
      <rgbColor rgb="FF993366"/>
      <rgbColor rgb="FFF2F2F2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D9E9E0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2E7D5B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X41"/>
  <sheetViews>
    <sheetView tabSelected="1" zoomScaleNormal="100" workbookViewId="0">
      <pane ySplit="5" topLeftCell="A6" activePane="bottomLeft" state="frozen"/>
      <selection pane="bottomLeft" activeCell="A32" sqref="A32"/>
    </sheetView>
  </sheetViews>
  <sheetFormatPr defaultColWidth="8.26171875" defaultRowHeight="14.4" x14ac:dyDescent="0.55000000000000004"/>
  <cols>
    <col min="1" max="1" width="48" customWidth="1"/>
    <col min="2" max="2" width="10" customWidth="1"/>
    <col min="3" max="3" width="8" customWidth="1"/>
    <col min="4" max="4" width="22" customWidth="1"/>
    <col min="5" max="5" width="24" customWidth="1"/>
    <col min="6" max="6" width="20" customWidth="1"/>
  </cols>
  <sheetData>
    <row r="1" spans="1:6" ht="21.75" customHeight="1" x14ac:dyDescent="0.6">
      <c r="A1" s="12" t="s">
        <v>0</v>
      </c>
      <c r="B1" s="12"/>
      <c r="C1" s="12"/>
      <c r="D1" s="12"/>
      <c r="E1" s="12"/>
      <c r="F1" s="12"/>
    </row>
    <row r="3" spans="1:6" x14ac:dyDescent="0.55000000000000004">
      <c r="A3" s="2"/>
    </row>
    <row r="5" spans="1:6" x14ac:dyDescent="0.55000000000000004">
      <c r="A5" s="10" t="s">
        <v>1</v>
      </c>
      <c r="B5" s="10" t="s">
        <v>2</v>
      </c>
      <c r="C5" s="10" t="s">
        <v>3</v>
      </c>
      <c r="D5" s="10" t="s">
        <v>4</v>
      </c>
      <c r="E5" s="10" t="s">
        <v>5</v>
      </c>
      <c r="F5" s="10" t="s">
        <v>6</v>
      </c>
    </row>
    <row r="6" spans="1:6" x14ac:dyDescent="0.55000000000000004">
      <c r="A6" s="11" t="s">
        <v>7</v>
      </c>
      <c r="B6" s="11"/>
      <c r="C6" s="11"/>
      <c r="D6" s="11"/>
      <c r="E6" s="11"/>
      <c r="F6" s="11"/>
    </row>
    <row r="7" spans="1:6" x14ac:dyDescent="0.55000000000000004">
      <c r="A7" s="3" t="s">
        <v>8</v>
      </c>
      <c r="B7" s="4" t="s">
        <v>9</v>
      </c>
      <c r="C7" s="4">
        <v>60</v>
      </c>
      <c r="D7" s="5">
        <v>1800</v>
      </c>
      <c r="E7" s="6">
        <f>D7*(1+$F$41)</f>
        <v>1854</v>
      </c>
      <c r="F7" s="7">
        <f>C7*E7</f>
        <v>111240</v>
      </c>
    </row>
    <row r="8" spans="1:6" x14ac:dyDescent="0.55000000000000004">
      <c r="A8" s="3" t="s">
        <v>10</v>
      </c>
      <c r="B8" s="4" t="s">
        <v>9</v>
      </c>
      <c r="C8" s="4">
        <v>60</v>
      </c>
      <c r="D8" s="5">
        <v>1800</v>
      </c>
      <c r="E8" s="6">
        <f>D8*(1+$F$41)</f>
        <v>1854</v>
      </c>
      <c r="F8" s="7">
        <f>C8*E8</f>
        <v>111240</v>
      </c>
    </row>
    <row r="9" spans="1:6" x14ac:dyDescent="0.55000000000000004">
      <c r="A9" s="3" t="s">
        <v>11</v>
      </c>
      <c r="B9" s="4" t="s">
        <v>12</v>
      </c>
      <c r="C9" s="4">
        <v>30</v>
      </c>
      <c r="D9" s="5">
        <v>800</v>
      </c>
      <c r="E9" s="6">
        <f>D9*(1+$F$41)</f>
        <v>824</v>
      </c>
      <c r="F9" s="7">
        <f>C9*E9</f>
        <v>24720</v>
      </c>
    </row>
    <row r="10" spans="1:6" x14ac:dyDescent="0.55000000000000004">
      <c r="A10" s="3" t="s">
        <v>13</v>
      </c>
      <c r="B10" s="4" t="s">
        <v>12</v>
      </c>
      <c r="C10" s="4">
        <v>30</v>
      </c>
      <c r="D10" s="5">
        <v>800</v>
      </c>
      <c r="E10" s="6">
        <f>D10*(1+$F$41)</f>
        <v>824</v>
      </c>
      <c r="F10" s="7">
        <f>C10*E10</f>
        <v>24720</v>
      </c>
    </row>
    <row r="11" spans="1:6" x14ac:dyDescent="0.55000000000000004">
      <c r="A11" s="11" t="s">
        <v>14</v>
      </c>
      <c r="B11" s="11"/>
      <c r="C11" s="11"/>
      <c r="D11" s="11"/>
      <c r="E11" s="11"/>
      <c r="F11" s="11"/>
    </row>
    <row r="12" spans="1:6" x14ac:dyDescent="0.55000000000000004">
      <c r="A12" s="3" t="s">
        <v>15</v>
      </c>
      <c r="B12" s="4" t="s">
        <v>16</v>
      </c>
      <c r="C12" s="4">
        <v>22</v>
      </c>
      <c r="D12" s="5">
        <v>1400</v>
      </c>
      <c r="E12" s="6">
        <f>D12*(1+$F$41)</f>
        <v>1442</v>
      </c>
      <c r="F12" s="7">
        <f>C12*E12</f>
        <v>31724</v>
      </c>
    </row>
    <row r="13" spans="1:6" x14ac:dyDescent="0.55000000000000004">
      <c r="A13" s="3" t="s">
        <v>17</v>
      </c>
      <c r="B13" s="4" t="s">
        <v>18</v>
      </c>
      <c r="C13" s="4">
        <v>1</v>
      </c>
      <c r="D13" s="5">
        <v>10000</v>
      </c>
      <c r="E13" s="6">
        <f>D13*(1+$F$41)</f>
        <v>10300</v>
      </c>
      <c r="F13" s="7">
        <f>C13*E13</f>
        <v>10300</v>
      </c>
    </row>
    <row r="14" spans="1:6" x14ac:dyDescent="0.55000000000000004">
      <c r="A14" s="3" t="s">
        <v>19</v>
      </c>
      <c r="B14" s="4" t="s">
        <v>18</v>
      </c>
      <c r="C14" s="4">
        <v>1</v>
      </c>
      <c r="D14" s="5">
        <v>10000</v>
      </c>
      <c r="E14" s="6">
        <f>D14*(1+$F$41)</f>
        <v>10300</v>
      </c>
      <c r="F14" s="7">
        <f>C14*E14</f>
        <v>10300</v>
      </c>
    </row>
    <row r="15" spans="1:6" x14ac:dyDescent="0.55000000000000004">
      <c r="A15" s="3" t="s">
        <v>20</v>
      </c>
      <c r="B15" s="4" t="s">
        <v>9</v>
      </c>
      <c r="C15" s="4">
        <v>30</v>
      </c>
      <c r="D15" s="5">
        <v>1900</v>
      </c>
      <c r="E15" s="6">
        <f>D15*(1+$F$41)</f>
        <v>1957</v>
      </c>
      <c r="F15" s="7">
        <f>C15*E15</f>
        <v>58710</v>
      </c>
    </row>
    <row r="16" spans="1:6" x14ac:dyDescent="0.55000000000000004">
      <c r="A16" s="3" t="s">
        <v>21</v>
      </c>
      <c r="B16" s="4" t="s">
        <v>9</v>
      </c>
      <c r="C16" s="4">
        <v>30</v>
      </c>
      <c r="D16" s="5">
        <v>1900</v>
      </c>
      <c r="E16" s="6">
        <f>D16*(1+$F$41)</f>
        <v>1957</v>
      </c>
      <c r="F16" s="7">
        <f>C16*E16</f>
        <v>58710</v>
      </c>
    </row>
    <row r="17" spans="1:6" x14ac:dyDescent="0.55000000000000004">
      <c r="A17" s="11" t="s">
        <v>22</v>
      </c>
      <c r="B17" s="11"/>
      <c r="C17" s="11"/>
      <c r="D17" s="11"/>
      <c r="E17" s="11"/>
      <c r="F17" s="11"/>
    </row>
    <row r="18" spans="1:6" x14ac:dyDescent="0.55000000000000004">
      <c r="A18" s="3" t="s">
        <v>23</v>
      </c>
      <c r="B18" s="4" t="s">
        <v>24</v>
      </c>
      <c r="C18" s="4">
        <v>5</v>
      </c>
      <c r="D18" s="5">
        <v>1250</v>
      </c>
      <c r="E18" s="6">
        <f>D18*(1+$F$41)</f>
        <v>1287.5</v>
      </c>
      <c r="F18" s="7">
        <f>C18*E18</f>
        <v>6437.5</v>
      </c>
    </row>
    <row r="19" spans="1:6" x14ac:dyDescent="0.55000000000000004">
      <c r="A19" s="3" t="s">
        <v>25</v>
      </c>
      <c r="B19" s="4" t="s">
        <v>24</v>
      </c>
      <c r="C19" s="4">
        <v>1</v>
      </c>
      <c r="D19" s="5">
        <v>15000</v>
      </c>
      <c r="E19" s="6">
        <f>D19*(1+$F$41)</f>
        <v>15450</v>
      </c>
      <c r="F19" s="7">
        <f>C19*E19</f>
        <v>15450</v>
      </c>
    </row>
    <row r="20" spans="1:6" x14ac:dyDescent="0.55000000000000004">
      <c r="A20" s="3" t="s">
        <v>26</v>
      </c>
      <c r="B20" s="4" t="s">
        <v>24</v>
      </c>
      <c r="C20" s="4">
        <v>1</v>
      </c>
      <c r="D20" s="5">
        <v>10000</v>
      </c>
      <c r="E20" s="6">
        <f>D20*(1+$F$41)</f>
        <v>10300</v>
      </c>
      <c r="F20" s="7">
        <f>C20*E20</f>
        <v>10300</v>
      </c>
    </row>
    <row r="21" spans="1:6" x14ac:dyDescent="0.55000000000000004">
      <c r="A21" s="3" t="s">
        <v>27</v>
      </c>
      <c r="B21" s="4" t="s">
        <v>18</v>
      </c>
      <c r="C21" s="4">
        <v>1</v>
      </c>
      <c r="D21" s="5">
        <v>18000</v>
      </c>
      <c r="E21" s="6">
        <f>D21*(1+$F$41)</f>
        <v>18540</v>
      </c>
      <c r="F21" s="7">
        <f>C21*E21</f>
        <v>18540</v>
      </c>
    </row>
    <row r="22" spans="1:6" x14ac:dyDescent="0.55000000000000004">
      <c r="A22" s="1" t="s">
        <v>28</v>
      </c>
      <c r="B22" s="1"/>
      <c r="C22" s="1"/>
      <c r="D22" s="1"/>
      <c r="E22" s="1"/>
      <c r="F22" s="8">
        <f>SUM(F6:F21)</f>
        <v>492391.5</v>
      </c>
    </row>
    <row r="41" spans="6:24" x14ac:dyDescent="0.55000000000000004">
      <c r="F41" s="9">
        <v>0.03</v>
      </c>
      <c r="L41" s="9">
        <v>1.05</v>
      </c>
      <c r="R41" s="9">
        <v>2.0499999999999998</v>
      </c>
      <c r="X41" s="9">
        <v>3.05</v>
      </c>
    </row>
  </sheetData>
  <mergeCells count="5">
    <mergeCell ref="A1:F1"/>
    <mergeCell ref="A6:F6"/>
    <mergeCell ref="A11:F11"/>
    <mergeCell ref="A17:F17"/>
    <mergeCell ref="A22:E22"/>
  </mergeCells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HRSDA Uruçuí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Gustavo Oliveira</cp:lastModifiedBy>
  <cp:revision>0</cp:revision>
  <dcterms:created xsi:type="dcterms:W3CDTF">2026-07-22T15:08:29Z</dcterms:created>
  <dcterms:modified xsi:type="dcterms:W3CDTF">2026-07-22T15:14:30Z</dcterms:modified>
  <dc:language>pt-BR</dc:language>
</cp:coreProperties>
</file>